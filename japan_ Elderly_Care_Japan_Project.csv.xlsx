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de8f7f7972ac17/Desktop/Data-Analysis-Projects/proj-4-Japanese_Elderly_Healthcare_Analysis/"/>
    </mc:Choice>
  </mc:AlternateContent>
  <xr:revisionPtr revIDLastSave="7" documentId="8_{8C573555-A544-41C9-9E5F-B4D00D7DD385}" xr6:coauthVersionLast="47" xr6:coauthVersionMax="47" xr10:uidLastSave="{305228C3-63CA-4F3C-9DC3-C594DCFA6CF3}"/>
  <bookViews>
    <workbookView xWindow="8370" yWindow="0" windowWidth="20430" windowHeight="15480" xr2:uid="{01AFC669-0CAE-4B01-8F34-F2DBE1F2DCC1}"/>
  </bookViews>
  <sheets>
    <sheet name="japan_ Elderly_Care_Japan_Proje" sheetId="1" r:id="rId1"/>
    <sheet name="healthcare_pivot table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1" i="1" l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W2" i="1"/>
  <c r="V2" i="1"/>
  <c r="U2" i="1"/>
  <c r="T2" i="1"/>
</calcChain>
</file>

<file path=xl/sharedStrings.xml><?xml version="1.0" encoding="utf-8"?>
<sst xmlns="http://schemas.openxmlformats.org/spreadsheetml/2006/main" count="67" uniqueCount="37">
  <si>
    <t>Prefecture</t>
  </si>
  <si>
    <t>Year</t>
  </si>
  <si>
    <t>Month</t>
  </si>
  <si>
    <t>Elderly_65Plus</t>
  </si>
  <si>
    <t>Elderly_75Plus</t>
  </si>
  <si>
    <t>Total_Population</t>
  </si>
  <si>
    <t>Hospital_Beds</t>
  </si>
  <si>
    <t>Beds_Per_1000</t>
  </si>
  <si>
    <t>Doctors_Per_1000</t>
  </si>
  <si>
    <t>Nurses_Per_1000</t>
  </si>
  <si>
    <t>Demand_Index</t>
  </si>
  <si>
    <t>Medical_Costs</t>
  </si>
  <si>
    <t>Insurance_Claims</t>
  </si>
  <si>
    <t>Flu_Rate</t>
  </si>
  <si>
    <t>Diabetes_Rate</t>
  </si>
  <si>
    <t>Hypertension_Rate</t>
  </si>
  <si>
    <t>Dementia_Rate</t>
  </si>
  <si>
    <t>Avg_Temp</t>
  </si>
  <si>
    <t>Rainfall</t>
  </si>
  <si>
    <t>Tokyo</t>
  </si>
  <si>
    <t>Osaka</t>
  </si>
  <si>
    <t>Kanagawa</t>
  </si>
  <si>
    <t>Aichi</t>
  </si>
  <si>
    <t>Saitama</t>
  </si>
  <si>
    <t>Chiba</t>
  </si>
  <si>
    <t>Hyogo</t>
  </si>
  <si>
    <t>Hokkaido</t>
  </si>
  <si>
    <t>Fukuoka</t>
  </si>
  <si>
    <t>Shizuoka</t>
  </si>
  <si>
    <t>Total_Elderly</t>
  </si>
  <si>
    <t>Average_Demand</t>
  </si>
  <si>
    <t>Max_medical_Cost</t>
  </si>
  <si>
    <t>Total_Records</t>
  </si>
  <si>
    <t>Row Labels</t>
  </si>
  <si>
    <t>Grand Total</t>
  </si>
  <si>
    <t>Sum of Elderly_65Plus</t>
  </si>
  <si>
    <t>Average of Demand_Index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</si>
</sst>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[japan_ Elderly_Care_Japan_Project.csv.xlsx]healthcare_pivot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  <a:effectLst/>
              </a:rPr>
              <a:t>Healthcare Demand by Prefecture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'healthcare_pivot table'!$B$1</c:f>
              <c:strCache>
                <c:ptCount val="1"/>
                <c:pt idx="0">
                  <c:v>Sum of Elderly_65Plus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'healthcare_pivot table'!$A$2:$A$12</c:f>
              <c:strCache>
                <c:ptCount val="10"/>
                <c:pt idx="0">
                  <c:v>Aichi</c:v>
                </c:pt>
                <c:pt idx="1">
                  <c:v>Chiba</c:v>
                </c:pt>
                <c:pt idx="2">
                  <c:v>Fukuoka</c:v>
                </c:pt>
                <c:pt idx="3">
                  <c:v>Hokkaido</c:v>
                </c:pt>
                <c:pt idx="4">
                  <c:v>Hyogo</c:v>
                </c:pt>
                <c:pt idx="5">
                  <c:v>Kanagawa</c:v>
                </c:pt>
                <c:pt idx="6">
                  <c:v>Osaka</c:v>
                </c:pt>
                <c:pt idx="7">
                  <c:v>Saitama</c:v>
                </c:pt>
                <c:pt idx="8">
                  <c:v>Shizuoka</c:v>
                </c:pt>
                <c:pt idx="9">
                  <c:v>Tokyo</c:v>
                </c:pt>
              </c:strCache>
            </c:strRef>
          </c:cat>
          <c:val>
            <c:numRef>
              <c:f>'healthcare_pivot table'!$B$2:$B$12</c:f>
              <c:numCache>
                <c:formatCode>General</c:formatCode>
                <c:ptCount val="10"/>
                <c:pt idx="0">
                  <c:v>4704600</c:v>
                </c:pt>
                <c:pt idx="1">
                  <c:v>4037700</c:v>
                </c:pt>
                <c:pt idx="2">
                  <c:v>3371100</c:v>
                </c:pt>
                <c:pt idx="3">
                  <c:v>5963700</c:v>
                </c:pt>
                <c:pt idx="4">
                  <c:v>3704400</c:v>
                </c:pt>
                <c:pt idx="5">
                  <c:v>5630700</c:v>
                </c:pt>
                <c:pt idx="6">
                  <c:v>5691700</c:v>
                </c:pt>
                <c:pt idx="7">
                  <c:v>4371300</c:v>
                </c:pt>
                <c:pt idx="8">
                  <c:v>2963400</c:v>
                </c:pt>
                <c:pt idx="9">
                  <c:v>9375400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0-4603-A3AC-B628860A0E28}"/>
            </c:ext>
          </c:extLst>
        </c:ser>
        <c:ser>
          <c:idx val="1"/>
          <c:order val="1"/>
          <c:tx>
            <c:strRef>
              <c:f>'healthcare_pivot table'!$C$1</c:f>
              <c:strCache>
                <c:ptCount val="1"/>
                <c:pt idx="0">
                  <c:v>Average of Demand_Index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'healthcare_pivot table'!$A$2:$A$12</c:f>
              <c:strCache>
                <c:ptCount val="10"/>
                <c:pt idx="0">
                  <c:v>Aichi</c:v>
                </c:pt>
                <c:pt idx="1">
                  <c:v>Chiba</c:v>
                </c:pt>
                <c:pt idx="2">
                  <c:v>Fukuoka</c:v>
                </c:pt>
                <c:pt idx="3">
                  <c:v>Hokkaido</c:v>
                </c:pt>
                <c:pt idx="4">
                  <c:v>Hyogo</c:v>
                </c:pt>
                <c:pt idx="5">
                  <c:v>Kanagawa</c:v>
                </c:pt>
                <c:pt idx="6">
                  <c:v>Osaka</c:v>
                </c:pt>
                <c:pt idx="7">
                  <c:v>Saitama</c:v>
                </c:pt>
                <c:pt idx="8">
                  <c:v>Shizuoka</c:v>
                </c:pt>
                <c:pt idx="9">
                  <c:v>Tokyo</c:v>
                </c:pt>
              </c:strCache>
            </c:strRef>
          </c:cat>
          <c:val>
            <c:numRef>
              <c:f>'healthcare_pivot table'!$C$2:$C$12</c:f>
              <c:numCache>
                <c:formatCode>General</c:formatCode>
                <c:ptCount val="10"/>
                <c:pt idx="0">
                  <c:v>71.13333333333334</c:v>
                </c:pt>
                <c:pt idx="1">
                  <c:v>70.433333333333337</c:v>
                </c:pt>
                <c:pt idx="2">
                  <c:v>69.7</c:v>
                </c:pt>
                <c:pt idx="3">
                  <c:v>84.933333333333337</c:v>
                </c:pt>
                <c:pt idx="4">
                  <c:v>73.533333333333346</c:v>
                </c:pt>
                <c:pt idx="5">
                  <c:v>75.666666666666671</c:v>
                </c:pt>
                <c:pt idx="6">
                  <c:v>82.36666666666666</c:v>
                </c:pt>
                <c:pt idx="7">
                  <c:v>68.733333333333334</c:v>
                </c:pt>
                <c:pt idx="8">
                  <c:v>72.033333333333346</c:v>
                </c:pt>
                <c:pt idx="9">
                  <c:v>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0-4603-A3AC-B628860A0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965808"/>
        <c:axId val="2072968688"/>
      </c:barChart>
      <c:catAx>
        <c:axId val="207296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8688"/>
        <c:crosses val="autoZero"/>
        <c:auto val="1"/>
        <c:lblAlgn val="ctr"/>
        <c:lblOffset val="100"/>
        <c:noMultiLvlLbl val="0"/>
      </c:catAx>
      <c:valAx>
        <c:axId val="207296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0</xdr:rowOff>
    </xdr:from>
    <xdr:to>
      <xdr:col>17</xdr:col>
      <xdr:colOff>571499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7F5D5-69EB-1068-BF76-8335E8889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kumari" refreshedDate="45940.67986585648" createdVersion="8" refreshedVersion="8" minRefreshableVersion="3" recordCount="30" xr:uid="{5CA740A8-6CEA-4038-9C8A-BF7AF88179EB}">
  <cacheSource type="worksheet">
    <worksheetSource name="Table1"/>
  </cacheSource>
  <cacheFields count="23">
    <cacheField name="Prefecture" numFmtId="0">
      <sharedItems count="10">
        <s v="Tokyo"/>
        <s v="Osaka"/>
        <s v="Kanagawa"/>
        <s v="Aichi"/>
        <s v="Saitama"/>
        <s v="Chiba"/>
        <s v="Hyogo"/>
        <s v="Hokkaido"/>
        <s v="Fukuoka"/>
        <s v="Shizuoka"/>
      </sharedItems>
    </cacheField>
    <cacheField name="Year" numFmtId="0">
      <sharedItems containsSemiMixedTypes="0" containsString="0" containsNumber="1" containsInteger="1" minValue="2023" maxValue="2023"/>
    </cacheField>
    <cacheField name="Month" numFmtId="0">
      <sharedItems containsSemiMixedTypes="0" containsString="0" containsNumber="1" containsInteger="1" minValue="1" maxValue="3"/>
    </cacheField>
    <cacheField name="Elderly_65Plus" numFmtId="0">
      <sharedItems containsSemiMixedTypes="0" containsString="0" containsNumber="1" containsInteger="1" minValue="987600" maxValue="3125800"/>
    </cacheField>
    <cacheField name="Elderly_75Plus" numFmtId="0">
      <sharedItems containsSemiMixedTypes="0" containsString="0" containsNumber="1" containsInteger="1" minValue="476500" maxValue="1568600"/>
    </cacheField>
    <cacheField name="Total_Population" numFmtId="0">
      <sharedItems containsSemiMixedTypes="0" containsString="0" containsNumber="1" containsInteger="1" minValue="3658000" maxValue="13931567"/>
    </cacheField>
    <cacheField name="Hospital_Beds" numFmtId="0">
      <sharedItems containsSemiMixedTypes="0" containsString="0" containsNumber="1" containsInteger="1" minValue="39800" maxValue="145700"/>
    </cacheField>
    <cacheField name="Beds_Per_1000" numFmtId="0">
      <sharedItems containsSemiMixedTypes="0" containsString="0" containsNumber="1" minValue="8.9" maxValue="16.71"/>
    </cacheField>
    <cacheField name="Doctors_Per_1000" numFmtId="0">
      <sharedItems containsSemiMixedTypes="0" containsString="0" containsNumber="1" minValue="2.12" maxValue="2.89"/>
    </cacheField>
    <cacheField name="Nurses_Per_1000" numFmtId="0">
      <sharedItems containsSemiMixedTypes="0" containsString="0" containsNumber="1" minValue="8.67" maxValue="11.25"/>
    </cacheField>
    <cacheField name="Demand_Index" numFmtId="0">
      <sharedItems containsSemiMixedTypes="0" containsString="0" containsNumber="1" minValue="67.900000000000006" maxValue="85.9"/>
    </cacheField>
    <cacheField name="Medical_Costs" numFmtId="0">
      <sharedItems containsSemiMixedTypes="0" containsString="0" containsNumber="1" containsInteger="1" minValue="416900" maxValue="1267800"/>
    </cacheField>
    <cacheField name="Insurance_Claims" numFmtId="0">
      <sharedItems containsSemiMixedTypes="0" containsString="0" containsNumber="1" containsInteger="1" minValue="340800" maxValue="992100"/>
    </cacheField>
    <cacheField name="Flu_Rate" numFmtId="0">
      <sharedItems containsSemiMixedTypes="0" containsString="0" containsNumber="1" minValue="3.1" maxValue="7.2"/>
    </cacheField>
    <cacheField name="Diabetes_Rate" numFmtId="0">
      <sharedItems containsSemiMixedTypes="0" containsString="0" containsNumber="1" minValue="7.5" maxValue="9.1999999999999993"/>
    </cacheField>
    <cacheField name="Hypertension_Rate" numFmtId="0">
      <sharedItems containsSemiMixedTypes="0" containsString="0" containsNumber="1" minValue="23.7" maxValue="27.9"/>
    </cacheField>
    <cacheField name="Dementia_Rate" numFmtId="0">
      <sharedItems containsSemiMixedTypes="0" containsString="0" containsNumber="1" minValue="5.8" maxValue="8.3000000000000007"/>
    </cacheField>
    <cacheField name="Avg_Temp" numFmtId="0">
      <sharedItems containsSemiMixedTypes="0" containsString="0" containsNumber="1" minValue="2.4" maxValue="17.7"/>
    </cacheField>
    <cacheField name="Rainfall" numFmtId="0">
      <sharedItems containsSemiMixedTypes="0" containsString="0" containsNumber="1" minValue="40.799999999999997" maxValue="78.3"/>
    </cacheField>
    <cacheField name="Total_Elderly" numFmtId="0">
      <sharedItems containsString="0" containsBlank="1" containsNumber="1" containsInteger="1" minValue="49814000" maxValue="49814000"/>
    </cacheField>
    <cacheField name="Average_Demand" numFmtId="0">
      <sharedItems containsString="0" containsBlank="1" containsNumber="1" minValue="74.703333333333347" maxValue="74.703333333333347"/>
    </cacheField>
    <cacheField name="Max_medical_Cost" numFmtId="0">
      <sharedItems containsString="0" containsBlank="1" containsNumber="1" containsInteger="1" minValue="1267800" maxValue="1267800"/>
    </cacheField>
    <cacheField name="Total_Records" numFmtId="0">
      <sharedItems containsString="0" containsBlank="1" containsNumber="1" containsInteger="1" minValue="3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2023"/>
    <n v="1"/>
    <n v="3124500"/>
    <n v="1567800"/>
    <n v="13929286"/>
    <n v="145600"/>
    <n v="10.45"/>
    <n v="2.89"/>
    <n v="11.23"/>
    <n v="78.5"/>
    <n v="1256000"/>
    <n v="985400"/>
    <n v="4.2"/>
    <n v="8.1"/>
    <n v="25.3"/>
    <n v="6.8"/>
    <n v="9.8000000000000007"/>
    <n v="52.1"/>
    <n v="49814000"/>
    <n v="74.703333333333347"/>
    <n v="1267800"/>
    <n v="30"/>
  </r>
  <r>
    <x v="0"/>
    <n v="2023"/>
    <n v="2"/>
    <n v="3125100"/>
    <n v="1568200"/>
    <n v="13930123"/>
    <n v="145650"/>
    <n v="10.46"/>
    <n v="2.89"/>
    <n v="11.24"/>
    <n v="79.2"/>
    <n v="1267800"/>
    <n v="992100"/>
    <n v="4.8"/>
    <n v="8.1"/>
    <n v="25.4"/>
    <n v="6.8"/>
    <n v="10.199999999999999"/>
    <n v="48.3"/>
    <m/>
    <m/>
    <m/>
    <m/>
  </r>
  <r>
    <x v="0"/>
    <n v="2023"/>
    <n v="3"/>
    <n v="3125800"/>
    <n v="1568600"/>
    <n v="13931567"/>
    <n v="145700"/>
    <n v="10.46"/>
    <n v="2.89"/>
    <n v="11.25"/>
    <n v="77.8"/>
    <n v="1243200"/>
    <n v="978500"/>
    <n v="3.9"/>
    <n v="8.1"/>
    <n v="25.3"/>
    <n v="6.9"/>
    <n v="12.8"/>
    <n v="65.400000000000006"/>
    <m/>
    <m/>
    <m/>
    <m/>
  </r>
  <r>
    <x v="1"/>
    <n v="2023"/>
    <n v="1"/>
    <n v="1896700"/>
    <n v="987600"/>
    <n v="8837685"/>
    <n v="98700"/>
    <n v="11.17"/>
    <n v="2.67"/>
    <n v="10.89"/>
    <n v="82.3"/>
    <n v="896500"/>
    <n v="745200"/>
    <n v="5.0999999999999996"/>
    <n v="8.9"/>
    <n v="26.7"/>
    <n v="7.2"/>
    <n v="10.5"/>
    <n v="58.3"/>
    <m/>
    <m/>
    <m/>
    <m/>
  </r>
  <r>
    <x v="1"/>
    <n v="2023"/>
    <n v="2"/>
    <n v="1897200"/>
    <n v="987800"/>
    <n v="8838123"/>
    <n v="98750"/>
    <n v="11.17"/>
    <n v="2.67"/>
    <n v="10.9"/>
    <n v="83.1"/>
    <n v="905600"/>
    <n v="752300"/>
    <n v="5.6"/>
    <n v="8.9"/>
    <n v="26.8"/>
    <n v="7.3"/>
    <n v="11.3"/>
    <n v="54.2"/>
    <m/>
    <m/>
    <m/>
    <m/>
  </r>
  <r>
    <x v="1"/>
    <n v="2023"/>
    <n v="3"/>
    <n v="1897800"/>
    <n v="988100"/>
    <n v="8838567"/>
    <n v="98800"/>
    <n v="11.18"/>
    <n v="2.67"/>
    <n v="10.91"/>
    <n v="81.7"/>
    <n v="887400"/>
    <n v="738900"/>
    <n v="4.7"/>
    <n v="8.9"/>
    <n v="26.7"/>
    <n v="7.3"/>
    <n v="13.9"/>
    <n v="72.099999999999994"/>
    <m/>
    <m/>
    <m/>
    <m/>
  </r>
  <r>
    <x v="2"/>
    <n v="2023"/>
    <n v="1"/>
    <n v="1876500"/>
    <n v="923400"/>
    <n v="9237337"/>
    <n v="85600"/>
    <n v="9.27"/>
    <n v="2.4500000000000002"/>
    <n v="9.7799999999999994"/>
    <n v="75.8"/>
    <n v="765400"/>
    <n v="623100"/>
    <n v="3.8"/>
    <n v="7.8"/>
    <n v="24.9"/>
    <n v="6.5"/>
    <n v="11.2"/>
    <n v="48.7"/>
    <m/>
    <m/>
    <m/>
    <m/>
  </r>
  <r>
    <x v="2"/>
    <n v="2023"/>
    <n v="2"/>
    <n v="1876900"/>
    <n v="923600"/>
    <n v="9237456"/>
    <n v="85650"/>
    <n v="9.27"/>
    <n v="2.4500000000000002"/>
    <n v="9.7899999999999991"/>
    <n v="76.3"/>
    <n v="772300"/>
    <n v="628900"/>
    <n v="4.3"/>
    <n v="7.8"/>
    <n v="25"/>
    <n v="6.5"/>
    <n v="12.1"/>
    <n v="45.2"/>
    <m/>
    <m/>
    <m/>
    <m/>
  </r>
  <r>
    <x v="2"/>
    <n v="2023"/>
    <n v="3"/>
    <n v="1877300"/>
    <n v="923800"/>
    <n v="9237589"/>
    <n v="85700"/>
    <n v="9.2799999999999994"/>
    <n v="2.4500000000000002"/>
    <n v="9.8000000000000007"/>
    <n v="74.900000000000006"/>
    <n v="758200"/>
    <n v="618700"/>
    <n v="3.4"/>
    <n v="7.8"/>
    <n v="24.8"/>
    <n v="6.4"/>
    <n v="14.5"/>
    <n v="63.8"/>
    <m/>
    <m/>
    <m/>
    <m/>
  </r>
  <r>
    <x v="3"/>
    <n v="2023"/>
    <n v="1"/>
    <n v="1567800"/>
    <n v="756800"/>
    <n v="7542415"/>
    <n v="72300"/>
    <n v="9.58"/>
    <n v="2.34"/>
    <n v="9.4499999999999993"/>
    <n v="71.2"/>
    <n v="654300"/>
    <n v="534200"/>
    <n v="4.5"/>
    <n v="8.3000000000000007"/>
    <n v="25.1"/>
    <n v="6.3"/>
    <n v="12.4"/>
    <n v="45.2"/>
    <m/>
    <m/>
    <m/>
    <m/>
  </r>
  <r>
    <x v="3"/>
    <n v="2023"/>
    <n v="2"/>
    <n v="1568200"/>
    <n v="756900"/>
    <n v="7542567"/>
    <n v="72350"/>
    <n v="9.59"/>
    <n v="2.34"/>
    <n v="9.4600000000000009"/>
    <n v="71.8"/>
    <n v="661200"/>
    <n v="539800"/>
    <n v="5"/>
    <n v="8.3000000000000007"/>
    <n v="25.2"/>
    <n v="6.3"/>
    <n v="13.6"/>
    <n v="42.7"/>
    <m/>
    <m/>
    <m/>
    <m/>
  </r>
  <r>
    <x v="3"/>
    <n v="2023"/>
    <n v="3"/>
    <n v="1568600"/>
    <n v="757000"/>
    <n v="7542712"/>
    <n v="72400"/>
    <n v="9.6"/>
    <n v="2.34"/>
    <n v="9.4700000000000006"/>
    <n v="70.400000000000006"/>
    <n v="647100"/>
    <n v="528600"/>
    <n v="4.0999999999999996"/>
    <n v="8.3000000000000007"/>
    <n v="25"/>
    <n v="6.2"/>
    <n v="15.8"/>
    <n v="59.3"/>
    <m/>
    <m/>
    <m/>
    <m/>
  </r>
  <r>
    <x v="4"/>
    <n v="2023"/>
    <n v="1"/>
    <n v="1456700"/>
    <n v="698700"/>
    <n v="7344766"/>
    <n v="65400"/>
    <n v="8.9"/>
    <n v="2.12"/>
    <n v="8.67"/>
    <n v="68.900000000000006"/>
    <n v="598700"/>
    <n v="487600"/>
    <n v="3.9"/>
    <n v="7.5"/>
    <n v="23.8"/>
    <n v="5.9"/>
    <n v="10.8"/>
    <n v="43.5"/>
    <m/>
    <m/>
    <m/>
    <m/>
  </r>
  <r>
    <x v="4"/>
    <n v="2023"/>
    <n v="2"/>
    <n v="1457100"/>
    <n v="698800"/>
    <n v="7344890"/>
    <n v="65450"/>
    <n v="8.91"/>
    <n v="2.12"/>
    <n v="8.68"/>
    <n v="69.400000000000006"/>
    <n v="605600"/>
    <n v="493200"/>
    <n v="4.4000000000000004"/>
    <n v="7.5"/>
    <n v="23.9"/>
    <n v="5.9"/>
    <n v="11.9"/>
    <n v="40.799999999999997"/>
    <m/>
    <m/>
    <m/>
    <m/>
  </r>
  <r>
    <x v="4"/>
    <n v="2023"/>
    <n v="3"/>
    <n v="1457500"/>
    <n v="698900"/>
    <n v="7345015"/>
    <n v="65500"/>
    <n v="8.92"/>
    <n v="2.12"/>
    <n v="8.69"/>
    <n v="67.900000000000006"/>
    <n v="591500"/>
    <n v="482000"/>
    <n v="3.3"/>
    <n v="7.5"/>
    <n v="23.7"/>
    <n v="5.8"/>
    <n v="14.2"/>
    <n v="57.6"/>
    <m/>
    <m/>
    <m/>
    <m/>
  </r>
  <r>
    <x v="5"/>
    <n v="2023"/>
    <n v="1"/>
    <n v="1345600"/>
    <n v="645600"/>
    <n v="6267579"/>
    <n v="59800"/>
    <n v="9.5399999999999991"/>
    <n v="2.2799999999999998"/>
    <n v="9.1199999999999992"/>
    <n v="70.5"/>
    <n v="567800"/>
    <n v="465300"/>
    <n v="4.0999999999999996"/>
    <n v="7.9"/>
    <n v="24.3"/>
    <n v="6.1"/>
    <n v="11.5"/>
    <n v="46.8"/>
    <m/>
    <m/>
    <m/>
    <m/>
  </r>
  <r>
    <x v="5"/>
    <n v="2023"/>
    <n v="2"/>
    <n v="1345900"/>
    <n v="645700"/>
    <n v="6267689"/>
    <n v="59850"/>
    <n v="9.5500000000000007"/>
    <n v="2.2799999999999998"/>
    <n v="9.1300000000000008"/>
    <n v="71.099999999999994"/>
    <n v="574200"/>
    <n v="470600"/>
    <n v="4.5999999999999996"/>
    <n v="7.9"/>
    <n v="24.4"/>
    <n v="6.1"/>
    <n v="12.7"/>
    <n v="43.9"/>
    <m/>
    <m/>
    <m/>
    <m/>
  </r>
  <r>
    <x v="5"/>
    <n v="2023"/>
    <n v="3"/>
    <n v="1346200"/>
    <n v="645800"/>
    <n v="6267801"/>
    <n v="59900"/>
    <n v="9.56"/>
    <n v="2.2799999999999998"/>
    <n v="9.14"/>
    <n v="69.7"/>
    <n v="561100"/>
    <n v="460000"/>
    <n v="3.5"/>
    <n v="7.9"/>
    <n v="24.2"/>
    <n v="6"/>
    <n v="15"/>
    <n v="60.2"/>
    <m/>
    <m/>
    <m/>
    <m/>
  </r>
  <r>
    <x v="6"/>
    <n v="2023"/>
    <n v="1"/>
    <n v="1234500"/>
    <n v="598400"/>
    <n v="5465002"/>
    <n v="54300"/>
    <n v="9.94"/>
    <n v="2.31"/>
    <n v="9.34"/>
    <n v="73.599999999999994"/>
    <n v="523400"/>
    <n v="423100"/>
    <n v="4.3"/>
    <n v="8.1999999999999993"/>
    <n v="25.6"/>
    <n v="6.7"/>
    <n v="10.9"/>
    <n v="51.2"/>
    <m/>
    <m/>
    <m/>
    <m/>
  </r>
  <r>
    <x v="6"/>
    <n v="2023"/>
    <n v="2"/>
    <n v="1234800"/>
    <n v="598500"/>
    <n v="5465123"/>
    <n v="54350"/>
    <n v="9.9499999999999993"/>
    <n v="2.31"/>
    <n v="9.35"/>
    <n v="74.2"/>
    <n v="529800"/>
    <n v="428500"/>
    <n v="4.8"/>
    <n v="8.1999999999999993"/>
    <n v="25.7"/>
    <n v="6.7"/>
    <n v="12"/>
    <n v="48.3"/>
    <m/>
    <m/>
    <m/>
    <m/>
  </r>
  <r>
    <x v="6"/>
    <n v="2023"/>
    <n v="3"/>
    <n v="1235100"/>
    <n v="598600"/>
    <n v="5465245"/>
    <n v="54400"/>
    <n v="9.9600000000000009"/>
    <n v="2.31"/>
    <n v="9.36"/>
    <n v="72.8"/>
    <n v="517000"/>
    <n v="417700"/>
    <n v="3.7"/>
    <n v="8.1999999999999993"/>
    <n v="25.5"/>
    <n v="6.6"/>
    <n v="14.3"/>
    <n v="65.099999999999994"/>
    <m/>
    <m/>
    <m/>
    <m/>
  </r>
  <r>
    <x v="7"/>
    <n v="2023"/>
    <n v="1"/>
    <n v="1987600"/>
    <n v="987600"/>
    <n v="5250000"/>
    <n v="87600"/>
    <n v="16.690000000000001"/>
    <n v="2.56"/>
    <n v="10.23"/>
    <n v="85.2"/>
    <n v="765400"/>
    <n v="598700"/>
    <n v="6.7"/>
    <n v="9.1999999999999993"/>
    <n v="27.8"/>
    <n v="8.3000000000000007"/>
    <n v="2.4"/>
    <n v="68.900000000000006"/>
    <m/>
    <m/>
    <m/>
    <m/>
  </r>
  <r>
    <x v="7"/>
    <n v="2023"/>
    <n v="2"/>
    <n v="1987900"/>
    <n v="987700"/>
    <n v="5250123"/>
    <n v="87650"/>
    <n v="16.7"/>
    <n v="2.56"/>
    <n v="10.24"/>
    <n v="85.9"/>
    <n v="772800"/>
    <n v="604300"/>
    <n v="7.2"/>
    <n v="9.1999999999999993"/>
    <n v="27.9"/>
    <n v="8.3000000000000007"/>
    <n v="3.8"/>
    <n v="65.400000000000006"/>
    <m/>
    <m/>
    <m/>
    <m/>
  </r>
  <r>
    <x v="7"/>
    <n v="2023"/>
    <n v="3"/>
    <n v="1988200"/>
    <n v="987800"/>
    <n v="5250247"/>
    <n v="87700"/>
    <n v="16.71"/>
    <n v="2.56"/>
    <n v="10.25"/>
    <n v="83.7"/>
    <n v="758000"/>
    <n v="593100"/>
    <n v="5.9"/>
    <n v="9.1999999999999993"/>
    <n v="27.7"/>
    <n v="8.1999999999999993"/>
    <n v="6.5"/>
    <n v="78.3"/>
    <m/>
    <m/>
    <m/>
    <m/>
  </r>
  <r>
    <x v="8"/>
    <n v="2023"/>
    <n v="1"/>
    <n v="1123400"/>
    <n v="534500"/>
    <n v="5135214"/>
    <n v="48700"/>
    <n v="9.48"/>
    <n v="2.19"/>
    <n v="8.89"/>
    <n v="69.8"/>
    <n v="476500"/>
    <n v="387400"/>
    <n v="4.5999999999999996"/>
    <n v="8.4"/>
    <n v="25.9"/>
    <n v="6.4"/>
    <n v="13.8"/>
    <n v="54.3"/>
    <m/>
    <m/>
    <m/>
    <m/>
  </r>
  <r>
    <x v="8"/>
    <n v="2023"/>
    <n v="2"/>
    <n v="1123700"/>
    <n v="534600"/>
    <n v="5135345"/>
    <n v="48750"/>
    <n v="9.49"/>
    <n v="2.19"/>
    <n v="8.9"/>
    <n v="70.400000000000006"/>
    <n v="482900"/>
    <n v="392800"/>
    <n v="5.0999999999999996"/>
    <n v="8.4"/>
    <n v="26"/>
    <n v="6.4"/>
    <n v="15.1"/>
    <n v="51.2"/>
    <m/>
    <m/>
    <m/>
    <m/>
  </r>
  <r>
    <x v="8"/>
    <n v="2023"/>
    <n v="3"/>
    <n v="1124000"/>
    <n v="534700"/>
    <n v="5135478"/>
    <n v="48800"/>
    <n v="9.5"/>
    <n v="2.19"/>
    <n v="8.91"/>
    <n v="68.900000000000006"/>
    <n v="470100"/>
    <n v="382000"/>
    <n v="4"/>
    <n v="8.4"/>
    <n v="25.8"/>
    <n v="6.3"/>
    <n v="17.399999999999999"/>
    <n v="67.5"/>
    <m/>
    <m/>
    <m/>
    <m/>
  </r>
  <r>
    <x v="9"/>
    <n v="2023"/>
    <n v="1"/>
    <n v="987600"/>
    <n v="476500"/>
    <n v="3658000"/>
    <n v="39800"/>
    <n v="10.88"/>
    <n v="2.41"/>
    <n v="9.67"/>
    <n v="72.099999999999994"/>
    <n v="423100"/>
    <n v="345600"/>
    <n v="3.7"/>
    <n v="7.6"/>
    <n v="24.1"/>
    <n v="6.2"/>
    <n v="14.2"/>
    <n v="49.8"/>
    <m/>
    <m/>
    <m/>
    <m/>
  </r>
  <r>
    <x v="9"/>
    <n v="2023"/>
    <n v="2"/>
    <n v="987800"/>
    <n v="476600"/>
    <n v="3658123"/>
    <n v="39850"/>
    <n v="10.89"/>
    <n v="2.41"/>
    <n v="9.68"/>
    <n v="72.7"/>
    <n v="429500"/>
    <n v="351000"/>
    <n v="4.2"/>
    <n v="7.6"/>
    <n v="24.2"/>
    <n v="6.2"/>
    <n v="15.4"/>
    <n v="46.9"/>
    <m/>
    <m/>
    <m/>
    <m/>
  </r>
  <r>
    <x v="9"/>
    <n v="2023"/>
    <n v="3"/>
    <n v="988000"/>
    <n v="476700"/>
    <n v="3658247"/>
    <n v="39900"/>
    <n v="10.9"/>
    <n v="2.41"/>
    <n v="9.69"/>
    <n v="71.3"/>
    <n v="416900"/>
    <n v="340800"/>
    <n v="3.1"/>
    <n v="7.6"/>
    <n v="24"/>
    <n v="6.1"/>
    <n v="17.7"/>
    <n v="63.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AC862-3A7E-4A46-8415-1E6C2A1B8FB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2" firstHeaderRow="0" firstDataRow="1" firstDataCol="1"/>
  <pivotFields count="23">
    <pivotField axis="axisRow" showAll="0">
      <items count="11">
        <item x="3"/>
        <item x="5"/>
        <item x="8"/>
        <item x="7"/>
        <item x="6"/>
        <item x="2"/>
        <item x="1"/>
        <item x="4"/>
        <item x="9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lderly_65Plus" fld="3" baseField="0" baseItem="0"/>
    <dataField name="Average of Demand_Index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2166B-004E-4CC6-BD34-5F0B5B1B0390}" name="Table1" displayName="Table1" ref="A1:W31" totalsRowShown="0">
  <autoFilter ref="A1:W31" xr:uid="{CC82166B-004E-4CC6-BD34-5F0B5B1B0390}"/>
  <tableColumns count="23">
    <tableColumn id="1" xr3:uid="{F2DBD37C-82BF-4CF7-80C5-99388896DE4D}" name="Prefecture"/>
    <tableColumn id="2" xr3:uid="{1B1A9E2B-88F5-4231-BEC8-D8CA866B0BA4}" name="Year"/>
    <tableColumn id="3" xr3:uid="{9F66EF52-A0E8-46B6-A734-BEFF4CBB0E46}" name="Month"/>
    <tableColumn id="4" xr3:uid="{AE0F0095-12EC-4C88-AAEE-A96F9B003024}" name="Elderly_65Plus"/>
    <tableColumn id="5" xr3:uid="{52914A7C-80A0-4D3C-AB97-C6BCB862CE7C}" name="Elderly_75Plus"/>
    <tableColumn id="6" xr3:uid="{52F0C6E2-D25C-4273-93A5-DB7115A491CB}" name="Total_Population"/>
    <tableColumn id="7" xr3:uid="{0E4F4A6E-6313-43E0-B5F8-3126D119E1FE}" name="Hospital_Beds"/>
    <tableColumn id="8" xr3:uid="{12685879-10C2-4BFD-B9E7-7AE83B5F61D7}" name="Beds_Per_1000"/>
    <tableColumn id="9" xr3:uid="{D02E02ED-6BDE-42BF-AAE0-1A48071DD132}" name="Doctors_Per_1000"/>
    <tableColumn id="10" xr3:uid="{9E77522B-82E2-4814-8E5F-889A0C6EEDA3}" name="Nurses_Per_1000"/>
    <tableColumn id="11" xr3:uid="{F920460C-8850-46A8-A5A2-8D561584F2D7}" name="Demand_Index"/>
    <tableColumn id="12" xr3:uid="{F06F81A8-5833-45C5-AC6F-EDFCA9F8E7F7}" name="Medical_Costs"/>
    <tableColumn id="13" xr3:uid="{8CBBC036-2030-4015-8154-838A8D4EB969}" name="Insurance_Claims"/>
    <tableColumn id="14" xr3:uid="{7673B154-EAAD-4EBB-94C7-93C27C15E514}" name="Flu_Rate"/>
    <tableColumn id="15" xr3:uid="{B3C7E1A7-4288-40EC-A78E-FA66842939AE}" name="Diabetes_Rate"/>
    <tableColumn id="16" xr3:uid="{891D13A8-5032-435E-8E50-6DEB0CDE068D}" name="Hypertension_Rate"/>
    <tableColumn id="17" xr3:uid="{AC9AB28B-4ABD-4CA6-8E18-B9DBA9D4DB1A}" name="Dementia_Rate"/>
    <tableColumn id="18" xr3:uid="{37206BCC-F4CA-4940-8012-90B76E335CA6}" name="Avg_Temp"/>
    <tableColumn id="19" xr3:uid="{2F7DA182-3218-43DD-B21A-AD4B0F83E04D}" name="Rainfall"/>
    <tableColumn id="21" xr3:uid="{58B2DEFC-4286-43AF-BD1E-9379D4868C84}" name="Total_Elderly" dataDxfId="3">
      <calculatedColumnFormula>SUM(Table1[Elderly_65Plus])</calculatedColumnFormula>
    </tableColumn>
    <tableColumn id="22" xr3:uid="{79912525-FF69-4B0D-BDB9-B2779B67CC6B}" name="Average_Demand" dataDxfId="2">
      <calculatedColumnFormula>AVERAGE(Table1[Demand_Index])</calculatedColumnFormula>
    </tableColumn>
    <tableColumn id="23" xr3:uid="{41F0A650-7D60-42FB-BDE4-8EABDF024514}" name="Max_medical_Cost" dataDxfId="1">
      <calculatedColumnFormula>MAX(Table1[Medical_Costs])</calculatedColumnFormula>
    </tableColumn>
    <tableColumn id="24" xr3:uid="{9C9481F1-3708-4C87-B2C1-4740C568747E}" name="Total_Records" dataDxfId="0">
      <calculatedColumnFormula>COUNTA(Table1[Prefecture])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2BC8-31C5-4AD1-86C5-0805DE36FEF1}">
  <dimension ref="A1:W31"/>
  <sheetViews>
    <sheetView tabSelected="1" topLeftCell="P1" zoomScaleNormal="100" workbookViewId="0">
      <selection activeCell="Y11" sqref="Y11"/>
    </sheetView>
  </sheetViews>
  <sheetFormatPr defaultRowHeight="15" x14ac:dyDescent="0.25"/>
  <cols>
    <col min="1" max="1" width="12.5703125" customWidth="1"/>
    <col min="4" max="5" width="16" customWidth="1"/>
    <col min="6" max="6" width="18.28515625" customWidth="1"/>
    <col min="7" max="7" width="15.7109375" customWidth="1"/>
    <col min="8" max="8" width="16.42578125" customWidth="1"/>
    <col min="9" max="9" width="18.85546875" customWidth="1"/>
    <col min="10" max="10" width="18.28515625" customWidth="1"/>
    <col min="11" max="11" width="16.5703125" customWidth="1"/>
    <col min="12" max="12" width="16" customWidth="1"/>
    <col min="13" max="13" width="18.5703125" customWidth="1"/>
    <col min="14" max="14" width="10.85546875" customWidth="1"/>
    <col min="15" max="15" width="16" customWidth="1"/>
    <col min="16" max="16" width="20.140625" customWidth="1"/>
    <col min="17" max="17" width="16.85546875" customWidth="1"/>
    <col min="18" max="18" width="12.42578125" customWidth="1"/>
    <col min="19" max="19" width="9.85546875" customWidth="1"/>
    <col min="20" max="20" width="15.85546875" customWidth="1"/>
    <col min="21" max="21" width="19.140625" bestFit="1" customWidth="1"/>
    <col min="22" max="22" width="15.7109375" customWidth="1"/>
    <col min="23" max="23" width="16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5">
      <c r="A2" t="s">
        <v>19</v>
      </c>
      <c r="B2">
        <v>2023</v>
      </c>
      <c r="C2">
        <v>1</v>
      </c>
      <c r="D2">
        <v>3124500</v>
      </c>
      <c r="E2">
        <v>1567800</v>
      </c>
      <c r="F2">
        <v>13929286</v>
      </c>
      <c r="G2">
        <v>145600</v>
      </c>
      <c r="H2">
        <v>10.45</v>
      </c>
      <c r="I2">
        <v>2.89</v>
      </c>
      <c r="J2">
        <v>11.23</v>
      </c>
      <c r="K2">
        <v>78.5</v>
      </c>
      <c r="L2">
        <v>1256000</v>
      </c>
      <c r="M2">
        <v>985400</v>
      </c>
      <c r="N2">
        <v>4.2</v>
      </c>
      <c r="O2">
        <v>8.1</v>
      </c>
      <c r="P2">
        <v>25.3</v>
      </c>
      <c r="Q2">
        <v>6.8</v>
      </c>
      <c r="R2">
        <v>9.8000000000000007</v>
      </c>
      <c r="S2">
        <v>52.1</v>
      </c>
      <c r="T2">
        <f>SUM(Table1[Elderly_65Plus])</f>
        <v>49814000</v>
      </c>
      <c r="U2">
        <f>AVERAGE(Table1[Demand_Index])</f>
        <v>74.703333333333347</v>
      </c>
      <c r="V2">
        <f>MAX(Table1[Medical_Costs])</f>
        <v>1267800</v>
      </c>
      <c r="W2">
        <f>COUNTA(Table1[Prefecture])</f>
        <v>30</v>
      </c>
    </row>
    <row r="3" spans="1:23" x14ac:dyDescent="0.25">
      <c r="A3" t="s">
        <v>19</v>
      </c>
      <c r="B3">
        <v>2023</v>
      </c>
      <c r="C3">
        <v>2</v>
      </c>
      <c r="D3">
        <v>3125100</v>
      </c>
      <c r="E3">
        <v>1568200</v>
      </c>
      <c r="F3">
        <v>13930123</v>
      </c>
      <c r="G3">
        <v>145650</v>
      </c>
      <c r="H3">
        <v>10.46</v>
      </c>
      <c r="I3">
        <v>2.89</v>
      </c>
      <c r="J3">
        <v>11.24</v>
      </c>
      <c r="K3">
        <v>79.2</v>
      </c>
      <c r="L3">
        <v>1267800</v>
      </c>
      <c r="M3">
        <v>992100</v>
      </c>
      <c r="N3">
        <v>4.8</v>
      </c>
      <c r="O3">
        <v>8.1</v>
      </c>
      <c r="P3">
        <v>25.4</v>
      </c>
      <c r="Q3">
        <v>6.8</v>
      </c>
      <c r="R3">
        <v>10.199999999999999</v>
      </c>
      <c r="S3">
        <v>48.3</v>
      </c>
      <c r="T3">
        <f>SUM(Table1[Elderly_65Plus])</f>
        <v>49814000</v>
      </c>
      <c r="U3">
        <f>AVERAGE(Table1[Demand_Index])</f>
        <v>74.703333333333347</v>
      </c>
      <c r="V3">
        <f>MAX(Table1[Medical_Costs])</f>
        <v>1267800</v>
      </c>
      <c r="W3">
        <f>COUNTA(Table1[Prefecture])</f>
        <v>30</v>
      </c>
    </row>
    <row r="4" spans="1:23" x14ac:dyDescent="0.25">
      <c r="A4" t="s">
        <v>19</v>
      </c>
      <c r="B4">
        <v>2023</v>
      </c>
      <c r="C4">
        <v>3</v>
      </c>
      <c r="D4">
        <v>3125800</v>
      </c>
      <c r="E4">
        <v>1568600</v>
      </c>
      <c r="F4">
        <v>13931567</v>
      </c>
      <c r="G4">
        <v>145700</v>
      </c>
      <c r="H4">
        <v>10.46</v>
      </c>
      <c r="I4">
        <v>2.89</v>
      </c>
      <c r="J4">
        <v>11.25</v>
      </c>
      <c r="K4">
        <v>77.8</v>
      </c>
      <c r="L4">
        <v>1243200</v>
      </c>
      <c r="M4">
        <v>978500</v>
      </c>
      <c r="N4">
        <v>3.9</v>
      </c>
      <c r="O4">
        <v>8.1</v>
      </c>
      <c r="P4">
        <v>25.3</v>
      </c>
      <c r="Q4">
        <v>6.9</v>
      </c>
      <c r="R4">
        <v>12.8</v>
      </c>
      <c r="S4">
        <v>65.400000000000006</v>
      </c>
      <c r="T4">
        <f>SUM(Table1[Elderly_65Plus])</f>
        <v>49814000</v>
      </c>
      <c r="U4">
        <f>AVERAGE(Table1[Demand_Index])</f>
        <v>74.703333333333347</v>
      </c>
      <c r="V4">
        <f>MAX(Table1[Medical_Costs])</f>
        <v>1267800</v>
      </c>
      <c r="W4">
        <f>COUNTA(Table1[Prefecture])</f>
        <v>30</v>
      </c>
    </row>
    <row r="5" spans="1:23" x14ac:dyDescent="0.25">
      <c r="A5" t="s">
        <v>20</v>
      </c>
      <c r="B5">
        <v>2023</v>
      </c>
      <c r="C5">
        <v>1</v>
      </c>
      <c r="D5">
        <v>1896700</v>
      </c>
      <c r="E5">
        <v>987600</v>
      </c>
      <c r="F5">
        <v>8837685</v>
      </c>
      <c r="G5">
        <v>98700</v>
      </c>
      <c r="H5">
        <v>11.17</v>
      </c>
      <c r="I5">
        <v>2.67</v>
      </c>
      <c r="J5">
        <v>10.89</v>
      </c>
      <c r="K5">
        <v>82.3</v>
      </c>
      <c r="L5">
        <v>896500</v>
      </c>
      <c r="M5">
        <v>745200</v>
      </c>
      <c r="N5">
        <v>5.0999999999999996</v>
      </c>
      <c r="O5">
        <v>8.9</v>
      </c>
      <c r="P5">
        <v>26.7</v>
      </c>
      <c r="Q5">
        <v>7.2</v>
      </c>
      <c r="R5">
        <v>10.5</v>
      </c>
      <c r="S5">
        <v>58.3</v>
      </c>
      <c r="T5">
        <f>SUM(Table1[Elderly_65Plus])</f>
        <v>49814000</v>
      </c>
      <c r="U5">
        <f>AVERAGE(Table1[Demand_Index])</f>
        <v>74.703333333333347</v>
      </c>
      <c r="V5">
        <f>MAX(Table1[Medical_Costs])</f>
        <v>1267800</v>
      </c>
      <c r="W5">
        <f>COUNTA(Table1[Prefecture])</f>
        <v>30</v>
      </c>
    </row>
    <row r="6" spans="1:23" x14ac:dyDescent="0.25">
      <c r="A6" t="s">
        <v>20</v>
      </c>
      <c r="B6">
        <v>2023</v>
      </c>
      <c r="C6">
        <v>2</v>
      </c>
      <c r="D6">
        <v>1897200</v>
      </c>
      <c r="E6">
        <v>987800</v>
      </c>
      <c r="F6">
        <v>8838123</v>
      </c>
      <c r="G6">
        <v>98750</v>
      </c>
      <c r="H6">
        <v>11.17</v>
      </c>
      <c r="I6">
        <v>2.67</v>
      </c>
      <c r="J6">
        <v>10.9</v>
      </c>
      <c r="K6">
        <v>83.1</v>
      </c>
      <c r="L6">
        <v>905600</v>
      </c>
      <c r="M6">
        <v>752300</v>
      </c>
      <c r="N6">
        <v>5.6</v>
      </c>
      <c r="O6">
        <v>8.9</v>
      </c>
      <c r="P6">
        <v>26.8</v>
      </c>
      <c r="Q6">
        <v>7.3</v>
      </c>
      <c r="R6">
        <v>11.3</v>
      </c>
      <c r="S6">
        <v>54.2</v>
      </c>
      <c r="T6">
        <f>SUM(Table1[Elderly_65Plus])</f>
        <v>49814000</v>
      </c>
      <c r="U6">
        <f>AVERAGE(Table1[Demand_Index])</f>
        <v>74.703333333333347</v>
      </c>
      <c r="V6">
        <f>MAX(Table1[Medical_Costs])</f>
        <v>1267800</v>
      </c>
      <c r="W6">
        <f>COUNTA(Table1[Prefecture])</f>
        <v>30</v>
      </c>
    </row>
    <row r="7" spans="1:23" x14ac:dyDescent="0.25">
      <c r="A7" t="s">
        <v>20</v>
      </c>
      <c r="B7">
        <v>2023</v>
      </c>
      <c r="C7">
        <v>3</v>
      </c>
      <c r="D7">
        <v>1897800</v>
      </c>
      <c r="E7">
        <v>988100</v>
      </c>
      <c r="F7">
        <v>8838567</v>
      </c>
      <c r="G7">
        <v>98800</v>
      </c>
      <c r="H7">
        <v>11.18</v>
      </c>
      <c r="I7">
        <v>2.67</v>
      </c>
      <c r="J7">
        <v>10.91</v>
      </c>
      <c r="K7">
        <v>81.7</v>
      </c>
      <c r="L7">
        <v>887400</v>
      </c>
      <c r="M7">
        <v>738900</v>
      </c>
      <c r="N7">
        <v>4.7</v>
      </c>
      <c r="O7">
        <v>8.9</v>
      </c>
      <c r="P7">
        <v>26.7</v>
      </c>
      <c r="Q7">
        <v>7.3</v>
      </c>
      <c r="R7">
        <v>13.9</v>
      </c>
      <c r="S7">
        <v>72.099999999999994</v>
      </c>
      <c r="T7">
        <f>SUM(Table1[Elderly_65Plus])</f>
        <v>49814000</v>
      </c>
      <c r="U7">
        <f>AVERAGE(Table1[Demand_Index])</f>
        <v>74.703333333333347</v>
      </c>
      <c r="V7">
        <f>MAX(Table1[Medical_Costs])</f>
        <v>1267800</v>
      </c>
      <c r="W7">
        <f>COUNTA(Table1[Prefecture])</f>
        <v>30</v>
      </c>
    </row>
    <row r="8" spans="1:23" x14ac:dyDescent="0.25">
      <c r="A8" t="s">
        <v>21</v>
      </c>
      <c r="B8">
        <v>2023</v>
      </c>
      <c r="C8">
        <v>1</v>
      </c>
      <c r="D8">
        <v>1876500</v>
      </c>
      <c r="E8">
        <v>923400</v>
      </c>
      <c r="F8">
        <v>9237337</v>
      </c>
      <c r="G8">
        <v>85600</v>
      </c>
      <c r="H8">
        <v>9.27</v>
      </c>
      <c r="I8">
        <v>2.4500000000000002</v>
      </c>
      <c r="J8">
        <v>9.7799999999999994</v>
      </c>
      <c r="K8">
        <v>75.8</v>
      </c>
      <c r="L8">
        <v>765400</v>
      </c>
      <c r="M8">
        <v>623100</v>
      </c>
      <c r="N8">
        <v>3.8</v>
      </c>
      <c r="O8">
        <v>7.8</v>
      </c>
      <c r="P8">
        <v>24.9</v>
      </c>
      <c r="Q8">
        <v>6.5</v>
      </c>
      <c r="R8">
        <v>11.2</v>
      </c>
      <c r="S8">
        <v>48.7</v>
      </c>
      <c r="T8">
        <f>SUM(Table1[Elderly_65Plus])</f>
        <v>49814000</v>
      </c>
      <c r="U8">
        <f>AVERAGE(Table1[Demand_Index])</f>
        <v>74.703333333333347</v>
      </c>
      <c r="V8">
        <f>MAX(Table1[Medical_Costs])</f>
        <v>1267800</v>
      </c>
      <c r="W8">
        <f>COUNTA(Table1[Prefecture])</f>
        <v>30</v>
      </c>
    </row>
    <row r="9" spans="1:23" x14ac:dyDescent="0.25">
      <c r="A9" t="s">
        <v>21</v>
      </c>
      <c r="B9">
        <v>2023</v>
      </c>
      <c r="C9">
        <v>2</v>
      </c>
      <c r="D9">
        <v>1876900</v>
      </c>
      <c r="E9">
        <v>923600</v>
      </c>
      <c r="F9">
        <v>9237456</v>
      </c>
      <c r="G9">
        <v>85650</v>
      </c>
      <c r="H9">
        <v>9.27</v>
      </c>
      <c r="I9">
        <v>2.4500000000000002</v>
      </c>
      <c r="J9">
        <v>9.7899999999999991</v>
      </c>
      <c r="K9">
        <v>76.3</v>
      </c>
      <c r="L9">
        <v>772300</v>
      </c>
      <c r="M9">
        <v>628900</v>
      </c>
      <c r="N9">
        <v>4.3</v>
      </c>
      <c r="O9">
        <v>7.8</v>
      </c>
      <c r="P9">
        <v>25</v>
      </c>
      <c r="Q9">
        <v>6.5</v>
      </c>
      <c r="R9">
        <v>12.1</v>
      </c>
      <c r="S9">
        <v>45.2</v>
      </c>
      <c r="T9">
        <f>SUM(Table1[Elderly_65Plus])</f>
        <v>49814000</v>
      </c>
      <c r="U9">
        <f>AVERAGE(Table1[Demand_Index])</f>
        <v>74.703333333333347</v>
      </c>
      <c r="V9">
        <f>MAX(Table1[Medical_Costs])</f>
        <v>1267800</v>
      </c>
      <c r="W9">
        <f>COUNTA(Table1[Prefecture])</f>
        <v>30</v>
      </c>
    </row>
    <row r="10" spans="1:23" x14ac:dyDescent="0.25">
      <c r="A10" t="s">
        <v>21</v>
      </c>
      <c r="B10">
        <v>2023</v>
      </c>
      <c r="C10">
        <v>3</v>
      </c>
      <c r="D10">
        <v>1877300</v>
      </c>
      <c r="E10">
        <v>923800</v>
      </c>
      <c r="F10">
        <v>9237589</v>
      </c>
      <c r="G10">
        <v>85700</v>
      </c>
      <c r="H10">
        <v>9.2799999999999994</v>
      </c>
      <c r="I10">
        <v>2.4500000000000002</v>
      </c>
      <c r="J10">
        <v>9.8000000000000007</v>
      </c>
      <c r="K10">
        <v>74.900000000000006</v>
      </c>
      <c r="L10">
        <v>758200</v>
      </c>
      <c r="M10">
        <v>618700</v>
      </c>
      <c r="N10">
        <v>3.4</v>
      </c>
      <c r="O10">
        <v>7.8</v>
      </c>
      <c r="P10">
        <v>24.8</v>
      </c>
      <c r="Q10">
        <v>6.4</v>
      </c>
      <c r="R10">
        <v>14.5</v>
      </c>
      <c r="S10">
        <v>63.8</v>
      </c>
      <c r="T10">
        <f>SUM(Table1[Elderly_65Plus])</f>
        <v>49814000</v>
      </c>
      <c r="U10">
        <f>AVERAGE(Table1[Demand_Index])</f>
        <v>74.703333333333347</v>
      </c>
      <c r="V10">
        <f>MAX(Table1[Medical_Costs])</f>
        <v>1267800</v>
      </c>
      <c r="W10">
        <f>COUNTA(Table1[Prefecture])</f>
        <v>30</v>
      </c>
    </row>
    <row r="11" spans="1:23" x14ac:dyDescent="0.25">
      <c r="A11" t="s">
        <v>22</v>
      </c>
      <c r="B11">
        <v>2023</v>
      </c>
      <c r="C11">
        <v>1</v>
      </c>
      <c r="D11">
        <v>1567800</v>
      </c>
      <c r="E11">
        <v>756800</v>
      </c>
      <c r="F11">
        <v>7542415</v>
      </c>
      <c r="G11">
        <v>72300</v>
      </c>
      <c r="H11">
        <v>9.58</v>
      </c>
      <c r="I11">
        <v>2.34</v>
      </c>
      <c r="J11">
        <v>9.4499999999999993</v>
      </c>
      <c r="K11">
        <v>71.2</v>
      </c>
      <c r="L11">
        <v>654300</v>
      </c>
      <c r="M11">
        <v>534200</v>
      </c>
      <c r="N11">
        <v>4.5</v>
      </c>
      <c r="O11">
        <v>8.3000000000000007</v>
      </c>
      <c r="P11">
        <v>25.1</v>
      </c>
      <c r="Q11">
        <v>6.3</v>
      </c>
      <c r="R11">
        <v>12.4</v>
      </c>
      <c r="S11">
        <v>45.2</v>
      </c>
      <c r="T11">
        <f>SUM(Table1[Elderly_65Plus])</f>
        <v>49814000</v>
      </c>
      <c r="U11">
        <f>AVERAGE(Table1[Demand_Index])</f>
        <v>74.703333333333347</v>
      </c>
      <c r="V11">
        <f>MAX(Table1[Medical_Costs])</f>
        <v>1267800</v>
      </c>
      <c r="W11">
        <f>COUNTA(Table1[Prefecture])</f>
        <v>30</v>
      </c>
    </row>
    <row r="12" spans="1:23" x14ac:dyDescent="0.25">
      <c r="A12" t="s">
        <v>22</v>
      </c>
      <c r="B12">
        <v>2023</v>
      </c>
      <c r="C12">
        <v>2</v>
      </c>
      <c r="D12">
        <v>1568200</v>
      </c>
      <c r="E12">
        <v>756900</v>
      </c>
      <c r="F12">
        <v>7542567</v>
      </c>
      <c r="G12">
        <v>72350</v>
      </c>
      <c r="H12">
        <v>9.59</v>
      </c>
      <c r="I12">
        <v>2.34</v>
      </c>
      <c r="J12">
        <v>9.4600000000000009</v>
      </c>
      <c r="K12">
        <v>71.8</v>
      </c>
      <c r="L12">
        <v>661200</v>
      </c>
      <c r="M12">
        <v>539800</v>
      </c>
      <c r="N12">
        <v>5</v>
      </c>
      <c r="O12">
        <v>8.3000000000000007</v>
      </c>
      <c r="P12">
        <v>25.2</v>
      </c>
      <c r="Q12">
        <v>6.3</v>
      </c>
      <c r="R12">
        <v>13.6</v>
      </c>
      <c r="S12">
        <v>42.7</v>
      </c>
      <c r="T12">
        <f>SUM(Table1[Elderly_65Plus])</f>
        <v>49814000</v>
      </c>
      <c r="U12">
        <f>AVERAGE(Table1[Demand_Index])</f>
        <v>74.703333333333347</v>
      </c>
      <c r="V12">
        <f>MAX(Table1[Medical_Costs])</f>
        <v>1267800</v>
      </c>
      <c r="W12">
        <f>COUNTA(Table1[Prefecture])</f>
        <v>30</v>
      </c>
    </row>
    <row r="13" spans="1:23" x14ac:dyDescent="0.25">
      <c r="A13" t="s">
        <v>22</v>
      </c>
      <c r="B13">
        <v>2023</v>
      </c>
      <c r="C13">
        <v>3</v>
      </c>
      <c r="D13">
        <v>1568600</v>
      </c>
      <c r="E13">
        <v>757000</v>
      </c>
      <c r="F13">
        <v>7542712</v>
      </c>
      <c r="G13">
        <v>72400</v>
      </c>
      <c r="H13">
        <v>9.6</v>
      </c>
      <c r="I13">
        <v>2.34</v>
      </c>
      <c r="J13">
        <v>9.4700000000000006</v>
      </c>
      <c r="K13">
        <v>70.400000000000006</v>
      </c>
      <c r="L13">
        <v>647100</v>
      </c>
      <c r="M13">
        <v>528600</v>
      </c>
      <c r="N13">
        <v>4.0999999999999996</v>
      </c>
      <c r="O13">
        <v>8.3000000000000007</v>
      </c>
      <c r="P13">
        <v>25</v>
      </c>
      <c r="Q13">
        <v>6.2</v>
      </c>
      <c r="R13">
        <v>15.8</v>
      </c>
      <c r="S13">
        <v>59.3</v>
      </c>
      <c r="T13">
        <f>SUM(Table1[Elderly_65Plus])</f>
        <v>49814000</v>
      </c>
      <c r="U13">
        <f>AVERAGE(Table1[Demand_Index])</f>
        <v>74.703333333333347</v>
      </c>
      <c r="V13">
        <f>MAX(Table1[Medical_Costs])</f>
        <v>1267800</v>
      </c>
      <c r="W13">
        <f>COUNTA(Table1[Prefecture])</f>
        <v>30</v>
      </c>
    </row>
    <row r="14" spans="1:23" x14ac:dyDescent="0.25">
      <c r="A14" t="s">
        <v>23</v>
      </c>
      <c r="B14">
        <v>2023</v>
      </c>
      <c r="C14">
        <v>1</v>
      </c>
      <c r="D14">
        <v>1456700</v>
      </c>
      <c r="E14">
        <v>698700</v>
      </c>
      <c r="F14">
        <v>7344766</v>
      </c>
      <c r="G14">
        <v>65400</v>
      </c>
      <c r="H14">
        <v>8.9</v>
      </c>
      <c r="I14">
        <v>2.12</v>
      </c>
      <c r="J14">
        <v>8.67</v>
      </c>
      <c r="K14">
        <v>68.900000000000006</v>
      </c>
      <c r="L14">
        <v>598700</v>
      </c>
      <c r="M14">
        <v>487600</v>
      </c>
      <c r="N14">
        <v>3.9</v>
      </c>
      <c r="O14">
        <v>7.5</v>
      </c>
      <c r="P14">
        <v>23.8</v>
      </c>
      <c r="Q14">
        <v>5.9</v>
      </c>
      <c r="R14">
        <v>10.8</v>
      </c>
      <c r="S14">
        <v>43.5</v>
      </c>
      <c r="T14">
        <f>SUM(Table1[Elderly_65Plus])</f>
        <v>49814000</v>
      </c>
      <c r="U14">
        <f>AVERAGE(Table1[Demand_Index])</f>
        <v>74.703333333333347</v>
      </c>
      <c r="V14">
        <f>MAX(Table1[Medical_Costs])</f>
        <v>1267800</v>
      </c>
      <c r="W14">
        <f>COUNTA(Table1[Prefecture])</f>
        <v>30</v>
      </c>
    </row>
    <row r="15" spans="1:23" x14ac:dyDescent="0.25">
      <c r="A15" t="s">
        <v>23</v>
      </c>
      <c r="B15">
        <v>2023</v>
      </c>
      <c r="C15">
        <v>2</v>
      </c>
      <c r="D15">
        <v>1457100</v>
      </c>
      <c r="E15">
        <v>698800</v>
      </c>
      <c r="F15">
        <v>7344890</v>
      </c>
      <c r="G15">
        <v>65450</v>
      </c>
      <c r="H15">
        <v>8.91</v>
      </c>
      <c r="I15">
        <v>2.12</v>
      </c>
      <c r="J15">
        <v>8.68</v>
      </c>
      <c r="K15">
        <v>69.400000000000006</v>
      </c>
      <c r="L15">
        <v>605600</v>
      </c>
      <c r="M15">
        <v>493200</v>
      </c>
      <c r="N15">
        <v>4.4000000000000004</v>
      </c>
      <c r="O15">
        <v>7.5</v>
      </c>
      <c r="P15">
        <v>23.9</v>
      </c>
      <c r="Q15">
        <v>5.9</v>
      </c>
      <c r="R15">
        <v>11.9</v>
      </c>
      <c r="S15">
        <v>40.799999999999997</v>
      </c>
      <c r="T15">
        <f>SUM(Table1[Elderly_65Plus])</f>
        <v>49814000</v>
      </c>
      <c r="U15">
        <f>AVERAGE(Table1[Demand_Index])</f>
        <v>74.703333333333347</v>
      </c>
      <c r="V15">
        <f>MAX(Table1[Medical_Costs])</f>
        <v>1267800</v>
      </c>
      <c r="W15">
        <f>COUNTA(Table1[Prefecture])</f>
        <v>30</v>
      </c>
    </row>
    <row r="16" spans="1:23" x14ac:dyDescent="0.25">
      <c r="A16" t="s">
        <v>23</v>
      </c>
      <c r="B16">
        <v>2023</v>
      </c>
      <c r="C16">
        <v>3</v>
      </c>
      <c r="D16">
        <v>1457500</v>
      </c>
      <c r="E16">
        <v>698900</v>
      </c>
      <c r="F16">
        <v>7345015</v>
      </c>
      <c r="G16">
        <v>65500</v>
      </c>
      <c r="H16">
        <v>8.92</v>
      </c>
      <c r="I16">
        <v>2.12</v>
      </c>
      <c r="J16">
        <v>8.69</v>
      </c>
      <c r="K16">
        <v>67.900000000000006</v>
      </c>
      <c r="L16">
        <v>591500</v>
      </c>
      <c r="M16">
        <v>482000</v>
      </c>
      <c r="N16">
        <v>3.3</v>
      </c>
      <c r="O16">
        <v>7.5</v>
      </c>
      <c r="P16">
        <v>23.7</v>
      </c>
      <c r="Q16">
        <v>5.8</v>
      </c>
      <c r="R16">
        <v>14.2</v>
      </c>
      <c r="S16">
        <v>57.6</v>
      </c>
      <c r="T16">
        <f>SUM(Table1[Elderly_65Plus])</f>
        <v>49814000</v>
      </c>
      <c r="U16">
        <f>AVERAGE(Table1[Demand_Index])</f>
        <v>74.703333333333347</v>
      </c>
      <c r="V16">
        <f>MAX(Table1[Medical_Costs])</f>
        <v>1267800</v>
      </c>
      <c r="W16">
        <f>COUNTA(Table1[Prefecture])</f>
        <v>30</v>
      </c>
    </row>
    <row r="17" spans="1:23" x14ac:dyDescent="0.25">
      <c r="A17" t="s">
        <v>24</v>
      </c>
      <c r="B17">
        <v>2023</v>
      </c>
      <c r="C17">
        <v>1</v>
      </c>
      <c r="D17">
        <v>1345600</v>
      </c>
      <c r="E17">
        <v>645600</v>
      </c>
      <c r="F17">
        <v>6267579</v>
      </c>
      <c r="G17">
        <v>59800</v>
      </c>
      <c r="H17">
        <v>9.5399999999999991</v>
      </c>
      <c r="I17">
        <v>2.2799999999999998</v>
      </c>
      <c r="J17">
        <v>9.1199999999999992</v>
      </c>
      <c r="K17">
        <v>70.5</v>
      </c>
      <c r="L17">
        <v>567800</v>
      </c>
      <c r="M17">
        <v>465300</v>
      </c>
      <c r="N17">
        <v>4.0999999999999996</v>
      </c>
      <c r="O17">
        <v>7.9</v>
      </c>
      <c r="P17">
        <v>24.3</v>
      </c>
      <c r="Q17">
        <v>6.1</v>
      </c>
      <c r="R17">
        <v>11.5</v>
      </c>
      <c r="S17">
        <v>46.8</v>
      </c>
      <c r="T17">
        <f>SUM(Table1[Elderly_65Plus])</f>
        <v>49814000</v>
      </c>
      <c r="U17">
        <f>AVERAGE(Table1[Demand_Index])</f>
        <v>74.703333333333347</v>
      </c>
      <c r="V17">
        <f>MAX(Table1[Medical_Costs])</f>
        <v>1267800</v>
      </c>
      <c r="W17">
        <f>COUNTA(Table1[Prefecture])</f>
        <v>30</v>
      </c>
    </row>
    <row r="18" spans="1:23" x14ac:dyDescent="0.25">
      <c r="A18" t="s">
        <v>24</v>
      </c>
      <c r="B18">
        <v>2023</v>
      </c>
      <c r="C18">
        <v>2</v>
      </c>
      <c r="D18">
        <v>1345900</v>
      </c>
      <c r="E18">
        <v>645700</v>
      </c>
      <c r="F18">
        <v>6267689</v>
      </c>
      <c r="G18">
        <v>59850</v>
      </c>
      <c r="H18">
        <v>9.5500000000000007</v>
      </c>
      <c r="I18">
        <v>2.2799999999999998</v>
      </c>
      <c r="J18">
        <v>9.1300000000000008</v>
      </c>
      <c r="K18">
        <v>71.099999999999994</v>
      </c>
      <c r="L18">
        <v>574200</v>
      </c>
      <c r="M18">
        <v>470600</v>
      </c>
      <c r="N18">
        <v>4.5999999999999996</v>
      </c>
      <c r="O18">
        <v>7.9</v>
      </c>
      <c r="P18">
        <v>24.4</v>
      </c>
      <c r="Q18">
        <v>6.1</v>
      </c>
      <c r="R18">
        <v>12.7</v>
      </c>
      <c r="S18">
        <v>43.9</v>
      </c>
      <c r="T18">
        <f>SUM(Table1[Elderly_65Plus])</f>
        <v>49814000</v>
      </c>
      <c r="U18">
        <f>AVERAGE(Table1[Demand_Index])</f>
        <v>74.703333333333347</v>
      </c>
      <c r="V18">
        <f>MAX(Table1[Medical_Costs])</f>
        <v>1267800</v>
      </c>
      <c r="W18">
        <f>COUNTA(Table1[Prefecture])</f>
        <v>30</v>
      </c>
    </row>
    <row r="19" spans="1:23" x14ac:dyDescent="0.25">
      <c r="A19" t="s">
        <v>24</v>
      </c>
      <c r="B19">
        <v>2023</v>
      </c>
      <c r="C19">
        <v>3</v>
      </c>
      <c r="D19">
        <v>1346200</v>
      </c>
      <c r="E19">
        <v>645800</v>
      </c>
      <c r="F19">
        <v>6267801</v>
      </c>
      <c r="G19">
        <v>59900</v>
      </c>
      <c r="H19">
        <v>9.56</v>
      </c>
      <c r="I19">
        <v>2.2799999999999998</v>
      </c>
      <c r="J19">
        <v>9.14</v>
      </c>
      <c r="K19">
        <v>69.7</v>
      </c>
      <c r="L19">
        <v>561100</v>
      </c>
      <c r="M19">
        <v>460000</v>
      </c>
      <c r="N19">
        <v>3.5</v>
      </c>
      <c r="O19">
        <v>7.9</v>
      </c>
      <c r="P19">
        <v>24.2</v>
      </c>
      <c r="Q19">
        <v>6</v>
      </c>
      <c r="R19">
        <v>15</v>
      </c>
      <c r="S19">
        <v>60.2</v>
      </c>
      <c r="T19">
        <f>SUM(Table1[Elderly_65Plus])</f>
        <v>49814000</v>
      </c>
      <c r="U19">
        <f>AVERAGE(Table1[Demand_Index])</f>
        <v>74.703333333333347</v>
      </c>
      <c r="V19">
        <f>MAX(Table1[Medical_Costs])</f>
        <v>1267800</v>
      </c>
      <c r="W19">
        <f>COUNTA(Table1[Prefecture])</f>
        <v>30</v>
      </c>
    </row>
    <row r="20" spans="1:23" x14ac:dyDescent="0.25">
      <c r="A20" t="s">
        <v>25</v>
      </c>
      <c r="B20">
        <v>2023</v>
      </c>
      <c r="C20">
        <v>1</v>
      </c>
      <c r="D20">
        <v>1234500</v>
      </c>
      <c r="E20">
        <v>598400</v>
      </c>
      <c r="F20">
        <v>5465002</v>
      </c>
      <c r="G20">
        <v>54300</v>
      </c>
      <c r="H20">
        <v>9.94</v>
      </c>
      <c r="I20">
        <v>2.31</v>
      </c>
      <c r="J20">
        <v>9.34</v>
      </c>
      <c r="K20">
        <v>73.599999999999994</v>
      </c>
      <c r="L20">
        <v>523400</v>
      </c>
      <c r="M20">
        <v>423100</v>
      </c>
      <c r="N20">
        <v>4.3</v>
      </c>
      <c r="O20">
        <v>8.1999999999999993</v>
      </c>
      <c r="P20">
        <v>25.6</v>
      </c>
      <c r="Q20">
        <v>6.7</v>
      </c>
      <c r="R20">
        <v>10.9</v>
      </c>
      <c r="S20">
        <v>51.2</v>
      </c>
      <c r="T20">
        <f>SUM(Table1[Elderly_65Plus])</f>
        <v>49814000</v>
      </c>
      <c r="U20">
        <f>AVERAGE(Table1[Demand_Index])</f>
        <v>74.703333333333347</v>
      </c>
      <c r="V20">
        <f>MAX(Table1[Medical_Costs])</f>
        <v>1267800</v>
      </c>
      <c r="W20">
        <f>COUNTA(Table1[Prefecture])</f>
        <v>30</v>
      </c>
    </row>
    <row r="21" spans="1:23" x14ac:dyDescent="0.25">
      <c r="A21" t="s">
        <v>25</v>
      </c>
      <c r="B21">
        <v>2023</v>
      </c>
      <c r="C21">
        <v>2</v>
      </c>
      <c r="D21">
        <v>1234800</v>
      </c>
      <c r="E21">
        <v>598500</v>
      </c>
      <c r="F21">
        <v>5465123</v>
      </c>
      <c r="G21">
        <v>54350</v>
      </c>
      <c r="H21">
        <v>9.9499999999999993</v>
      </c>
      <c r="I21">
        <v>2.31</v>
      </c>
      <c r="J21">
        <v>9.35</v>
      </c>
      <c r="K21">
        <v>74.2</v>
      </c>
      <c r="L21">
        <v>529800</v>
      </c>
      <c r="M21">
        <v>428500</v>
      </c>
      <c r="N21">
        <v>4.8</v>
      </c>
      <c r="O21">
        <v>8.1999999999999993</v>
      </c>
      <c r="P21">
        <v>25.7</v>
      </c>
      <c r="Q21">
        <v>6.7</v>
      </c>
      <c r="R21">
        <v>12</v>
      </c>
      <c r="S21">
        <v>48.3</v>
      </c>
      <c r="T21">
        <f>SUM(Table1[Elderly_65Plus])</f>
        <v>49814000</v>
      </c>
      <c r="U21">
        <f>AVERAGE(Table1[Demand_Index])</f>
        <v>74.703333333333347</v>
      </c>
      <c r="V21">
        <f>MAX(Table1[Medical_Costs])</f>
        <v>1267800</v>
      </c>
      <c r="W21">
        <f>COUNTA(Table1[Prefecture])</f>
        <v>30</v>
      </c>
    </row>
    <row r="22" spans="1:23" x14ac:dyDescent="0.25">
      <c r="A22" t="s">
        <v>25</v>
      </c>
      <c r="B22">
        <v>2023</v>
      </c>
      <c r="C22">
        <v>3</v>
      </c>
      <c r="D22">
        <v>1235100</v>
      </c>
      <c r="E22">
        <v>598600</v>
      </c>
      <c r="F22">
        <v>5465245</v>
      </c>
      <c r="G22">
        <v>54400</v>
      </c>
      <c r="H22">
        <v>9.9600000000000009</v>
      </c>
      <c r="I22">
        <v>2.31</v>
      </c>
      <c r="J22">
        <v>9.36</v>
      </c>
      <c r="K22">
        <v>72.8</v>
      </c>
      <c r="L22">
        <v>517000</v>
      </c>
      <c r="M22">
        <v>417700</v>
      </c>
      <c r="N22">
        <v>3.7</v>
      </c>
      <c r="O22">
        <v>8.1999999999999993</v>
      </c>
      <c r="P22">
        <v>25.5</v>
      </c>
      <c r="Q22">
        <v>6.6</v>
      </c>
      <c r="R22">
        <v>14.3</v>
      </c>
      <c r="S22">
        <v>65.099999999999994</v>
      </c>
      <c r="T22">
        <f>SUM(Table1[Elderly_65Plus])</f>
        <v>49814000</v>
      </c>
      <c r="U22">
        <f>AVERAGE(Table1[Demand_Index])</f>
        <v>74.703333333333347</v>
      </c>
      <c r="V22">
        <f>MAX(Table1[Medical_Costs])</f>
        <v>1267800</v>
      </c>
      <c r="W22">
        <f>COUNTA(Table1[Prefecture])</f>
        <v>30</v>
      </c>
    </row>
    <row r="23" spans="1:23" x14ac:dyDescent="0.25">
      <c r="A23" t="s">
        <v>26</v>
      </c>
      <c r="B23">
        <v>2023</v>
      </c>
      <c r="C23">
        <v>1</v>
      </c>
      <c r="D23">
        <v>1987600</v>
      </c>
      <c r="E23">
        <v>987600</v>
      </c>
      <c r="F23">
        <v>5250000</v>
      </c>
      <c r="G23">
        <v>87600</v>
      </c>
      <c r="H23">
        <v>16.690000000000001</v>
      </c>
      <c r="I23">
        <v>2.56</v>
      </c>
      <c r="J23">
        <v>10.23</v>
      </c>
      <c r="K23">
        <v>85.2</v>
      </c>
      <c r="L23">
        <v>765400</v>
      </c>
      <c r="M23">
        <v>598700</v>
      </c>
      <c r="N23">
        <v>6.7</v>
      </c>
      <c r="O23">
        <v>9.1999999999999993</v>
      </c>
      <c r="P23">
        <v>27.8</v>
      </c>
      <c r="Q23">
        <v>8.3000000000000007</v>
      </c>
      <c r="R23">
        <v>2.4</v>
      </c>
      <c r="S23">
        <v>68.900000000000006</v>
      </c>
      <c r="T23">
        <f>SUM(Table1[Elderly_65Plus])</f>
        <v>49814000</v>
      </c>
      <c r="U23">
        <f>AVERAGE(Table1[Demand_Index])</f>
        <v>74.703333333333347</v>
      </c>
      <c r="V23">
        <f>MAX(Table1[Medical_Costs])</f>
        <v>1267800</v>
      </c>
      <c r="W23">
        <f>COUNTA(Table1[Prefecture])</f>
        <v>30</v>
      </c>
    </row>
    <row r="24" spans="1:23" x14ac:dyDescent="0.25">
      <c r="A24" t="s">
        <v>26</v>
      </c>
      <c r="B24">
        <v>2023</v>
      </c>
      <c r="C24">
        <v>2</v>
      </c>
      <c r="D24">
        <v>1987900</v>
      </c>
      <c r="E24">
        <v>987700</v>
      </c>
      <c r="F24">
        <v>5250123</v>
      </c>
      <c r="G24">
        <v>87650</v>
      </c>
      <c r="H24">
        <v>16.7</v>
      </c>
      <c r="I24">
        <v>2.56</v>
      </c>
      <c r="J24">
        <v>10.24</v>
      </c>
      <c r="K24">
        <v>85.9</v>
      </c>
      <c r="L24">
        <v>772800</v>
      </c>
      <c r="M24">
        <v>604300</v>
      </c>
      <c r="N24">
        <v>7.2</v>
      </c>
      <c r="O24">
        <v>9.1999999999999993</v>
      </c>
      <c r="P24">
        <v>27.9</v>
      </c>
      <c r="Q24">
        <v>8.3000000000000007</v>
      </c>
      <c r="R24">
        <v>3.8</v>
      </c>
      <c r="S24">
        <v>65.400000000000006</v>
      </c>
      <c r="T24">
        <f>SUM(Table1[Elderly_65Plus])</f>
        <v>49814000</v>
      </c>
      <c r="U24">
        <f>AVERAGE(Table1[Demand_Index])</f>
        <v>74.703333333333347</v>
      </c>
      <c r="V24">
        <f>MAX(Table1[Medical_Costs])</f>
        <v>1267800</v>
      </c>
      <c r="W24">
        <f>COUNTA(Table1[Prefecture])</f>
        <v>30</v>
      </c>
    </row>
    <row r="25" spans="1:23" x14ac:dyDescent="0.25">
      <c r="A25" t="s">
        <v>26</v>
      </c>
      <c r="B25">
        <v>2023</v>
      </c>
      <c r="C25">
        <v>3</v>
      </c>
      <c r="D25">
        <v>1988200</v>
      </c>
      <c r="E25">
        <v>987800</v>
      </c>
      <c r="F25">
        <v>5250247</v>
      </c>
      <c r="G25">
        <v>87700</v>
      </c>
      <c r="H25">
        <v>16.71</v>
      </c>
      <c r="I25">
        <v>2.56</v>
      </c>
      <c r="J25">
        <v>10.25</v>
      </c>
      <c r="K25">
        <v>83.7</v>
      </c>
      <c r="L25">
        <v>758000</v>
      </c>
      <c r="M25">
        <v>593100</v>
      </c>
      <c r="N25">
        <v>5.9</v>
      </c>
      <c r="O25">
        <v>9.1999999999999993</v>
      </c>
      <c r="P25">
        <v>27.7</v>
      </c>
      <c r="Q25">
        <v>8.1999999999999993</v>
      </c>
      <c r="R25">
        <v>6.5</v>
      </c>
      <c r="S25">
        <v>78.3</v>
      </c>
      <c r="T25">
        <f>SUM(Table1[Elderly_65Plus])</f>
        <v>49814000</v>
      </c>
      <c r="U25">
        <f>AVERAGE(Table1[Demand_Index])</f>
        <v>74.703333333333347</v>
      </c>
      <c r="V25">
        <f>MAX(Table1[Medical_Costs])</f>
        <v>1267800</v>
      </c>
      <c r="W25">
        <f>COUNTA(Table1[Prefecture])</f>
        <v>30</v>
      </c>
    </row>
    <row r="26" spans="1:23" x14ac:dyDescent="0.25">
      <c r="A26" t="s">
        <v>27</v>
      </c>
      <c r="B26">
        <v>2023</v>
      </c>
      <c r="C26">
        <v>1</v>
      </c>
      <c r="D26">
        <v>1123400</v>
      </c>
      <c r="E26">
        <v>534500</v>
      </c>
      <c r="F26">
        <v>5135214</v>
      </c>
      <c r="G26">
        <v>48700</v>
      </c>
      <c r="H26">
        <v>9.48</v>
      </c>
      <c r="I26">
        <v>2.19</v>
      </c>
      <c r="J26">
        <v>8.89</v>
      </c>
      <c r="K26">
        <v>69.8</v>
      </c>
      <c r="L26">
        <v>476500</v>
      </c>
      <c r="M26">
        <v>387400</v>
      </c>
      <c r="N26">
        <v>4.5999999999999996</v>
      </c>
      <c r="O26">
        <v>8.4</v>
      </c>
      <c r="P26">
        <v>25.9</v>
      </c>
      <c r="Q26">
        <v>6.4</v>
      </c>
      <c r="R26">
        <v>13.8</v>
      </c>
      <c r="S26">
        <v>54.3</v>
      </c>
      <c r="T26">
        <f>SUM(Table1[Elderly_65Plus])</f>
        <v>49814000</v>
      </c>
      <c r="U26">
        <f>AVERAGE(Table1[Demand_Index])</f>
        <v>74.703333333333347</v>
      </c>
      <c r="V26">
        <f>MAX(Table1[Medical_Costs])</f>
        <v>1267800</v>
      </c>
      <c r="W26">
        <f>COUNTA(Table1[Prefecture])</f>
        <v>30</v>
      </c>
    </row>
    <row r="27" spans="1:23" x14ac:dyDescent="0.25">
      <c r="A27" t="s">
        <v>27</v>
      </c>
      <c r="B27">
        <v>2023</v>
      </c>
      <c r="C27">
        <v>2</v>
      </c>
      <c r="D27">
        <v>1123700</v>
      </c>
      <c r="E27">
        <v>534600</v>
      </c>
      <c r="F27">
        <v>5135345</v>
      </c>
      <c r="G27">
        <v>48750</v>
      </c>
      <c r="H27">
        <v>9.49</v>
      </c>
      <c r="I27">
        <v>2.19</v>
      </c>
      <c r="J27">
        <v>8.9</v>
      </c>
      <c r="K27">
        <v>70.400000000000006</v>
      </c>
      <c r="L27">
        <v>482900</v>
      </c>
      <c r="M27">
        <v>392800</v>
      </c>
      <c r="N27">
        <v>5.0999999999999996</v>
      </c>
      <c r="O27">
        <v>8.4</v>
      </c>
      <c r="P27">
        <v>26</v>
      </c>
      <c r="Q27">
        <v>6.4</v>
      </c>
      <c r="R27">
        <v>15.1</v>
      </c>
      <c r="S27">
        <v>51.2</v>
      </c>
      <c r="T27">
        <f>SUM(Table1[Elderly_65Plus])</f>
        <v>49814000</v>
      </c>
      <c r="U27">
        <f>AVERAGE(Table1[Demand_Index])</f>
        <v>74.703333333333347</v>
      </c>
      <c r="V27">
        <f>MAX(Table1[Medical_Costs])</f>
        <v>1267800</v>
      </c>
      <c r="W27">
        <f>COUNTA(Table1[Prefecture])</f>
        <v>30</v>
      </c>
    </row>
    <row r="28" spans="1:23" x14ac:dyDescent="0.25">
      <c r="A28" t="s">
        <v>27</v>
      </c>
      <c r="B28">
        <v>2023</v>
      </c>
      <c r="C28">
        <v>3</v>
      </c>
      <c r="D28">
        <v>1124000</v>
      </c>
      <c r="E28">
        <v>534700</v>
      </c>
      <c r="F28">
        <v>5135478</v>
      </c>
      <c r="G28">
        <v>48800</v>
      </c>
      <c r="H28">
        <v>9.5</v>
      </c>
      <c r="I28">
        <v>2.19</v>
      </c>
      <c r="J28">
        <v>8.91</v>
      </c>
      <c r="K28">
        <v>68.900000000000006</v>
      </c>
      <c r="L28">
        <v>470100</v>
      </c>
      <c r="M28">
        <v>382000</v>
      </c>
      <c r="N28">
        <v>4</v>
      </c>
      <c r="O28">
        <v>8.4</v>
      </c>
      <c r="P28">
        <v>25.8</v>
      </c>
      <c r="Q28">
        <v>6.3</v>
      </c>
      <c r="R28">
        <v>17.399999999999999</v>
      </c>
      <c r="S28">
        <v>67.5</v>
      </c>
      <c r="T28">
        <f>SUM(Table1[Elderly_65Plus])</f>
        <v>49814000</v>
      </c>
      <c r="U28">
        <f>AVERAGE(Table1[Demand_Index])</f>
        <v>74.703333333333347</v>
      </c>
      <c r="V28">
        <f>MAX(Table1[Medical_Costs])</f>
        <v>1267800</v>
      </c>
      <c r="W28">
        <f>COUNTA(Table1[Prefecture])</f>
        <v>30</v>
      </c>
    </row>
    <row r="29" spans="1:23" x14ac:dyDescent="0.25">
      <c r="A29" t="s">
        <v>28</v>
      </c>
      <c r="B29">
        <v>2023</v>
      </c>
      <c r="C29">
        <v>1</v>
      </c>
      <c r="D29">
        <v>987600</v>
      </c>
      <c r="E29">
        <v>476500</v>
      </c>
      <c r="F29">
        <v>3658000</v>
      </c>
      <c r="G29">
        <v>39800</v>
      </c>
      <c r="H29">
        <v>10.88</v>
      </c>
      <c r="I29">
        <v>2.41</v>
      </c>
      <c r="J29">
        <v>9.67</v>
      </c>
      <c r="K29">
        <v>72.099999999999994</v>
      </c>
      <c r="L29">
        <v>423100</v>
      </c>
      <c r="M29">
        <v>345600</v>
      </c>
      <c r="N29">
        <v>3.7</v>
      </c>
      <c r="O29">
        <v>7.6</v>
      </c>
      <c r="P29">
        <v>24.1</v>
      </c>
      <c r="Q29">
        <v>6.2</v>
      </c>
      <c r="R29">
        <v>14.2</v>
      </c>
      <c r="S29">
        <v>49.8</v>
      </c>
      <c r="T29">
        <f>SUM(Table1[Elderly_65Plus])</f>
        <v>49814000</v>
      </c>
      <c r="U29">
        <f>AVERAGE(Table1[Demand_Index])</f>
        <v>74.703333333333347</v>
      </c>
      <c r="V29">
        <f>MAX(Table1[Medical_Costs])</f>
        <v>1267800</v>
      </c>
      <c r="W29">
        <f>COUNTA(Table1[Prefecture])</f>
        <v>30</v>
      </c>
    </row>
    <row r="30" spans="1:23" x14ac:dyDescent="0.25">
      <c r="A30" t="s">
        <v>28</v>
      </c>
      <c r="B30">
        <v>2023</v>
      </c>
      <c r="C30">
        <v>2</v>
      </c>
      <c r="D30">
        <v>987800</v>
      </c>
      <c r="E30">
        <v>476600</v>
      </c>
      <c r="F30">
        <v>3658123</v>
      </c>
      <c r="G30">
        <v>39850</v>
      </c>
      <c r="H30">
        <v>10.89</v>
      </c>
      <c r="I30">
        <v>2.41</v>
      </c>
      <c r="J30">
        <v>9.68</v>
      </c>
      <c r="K30">
        <v>72.7</v>
      </c>
      <c r="L30">
        <v>429500</v>
      </c>
      <c r="M30">
        <v>351000</v>
      </c>
      <c r="N30">
        <v>4.2</v>
      </c>
      <c r="O30">
        <v>7.6</v>
      </c>
      <c r="P30">
        <v>24.2</v>
      </c>
      <c r="Q30">
        <v>6.2</v>
      </c>
      <c r="R30">
        <v>15.4</v>
      </c>
      <c r="S30">
        <v>46.9</v>
      </c>
      <c r="T30">
        <f>SUM(Table1[Elderly_65Plus])</f>
        <v>49814000</v>
      </c>
      <c r="U30">
        <f>AVERAGE(Table1[Demand_Index])</f>
        <v>74.703333333333347</v>
      </c>
      <c r="V30">
        <f>MAX(Table1[Medical_Costs])</f>
        <v>1267800</v>
      </c>
      <c r="W30">
        <f>COUNTA(Table1[Prefecture])</f>
        <v>30</v>
      </c>
    </row>
    <row r="31" spans="1:23" x14ac:dyDescent="0.25">
      <c r="A31" t="s">
        <v>28</v>
      </c>
      <c r="B31">
        <v>2023</v>
      </c>
      <c r="C31">
        <v>3</v>
      </c>
      <c r="D31">
        <v>988000</v>
      </c>
      <c r="E31">
        <v>476700</v>
      </c>
      <c r="F31">
        <v>3658247</v>
      </c>
      <c r="G31">
        <v>39900</v>
      </c>
      <c r="H31">
        <v>10.9</v>
      </c>
      <c r="I31">
        <v>2.41</v>
      </c>
      <c r="J31">
        <v>9.69</v>
      </c>
      <c r="K31">
        <v>71.3</v>
      </c>
      <c r="L31">
        <v>416900</v>
      </c>
      <c r="M31">
        <v>340800</v>
      </c>
      <c r="N31">
        <v>3.1</v>
      </c>
      <c r="O31">
        <v>7.6</v>
      </c>
      <c r="P31">
        <v>24</v>
      </c>
      <c r="Q31">
        <v>6.1</v>
      </c>
      <c r="R31">
        <v>17.7</v>
      </c>
      <c r="S31">
        <v>63.2</v>
      </c>
      <c r="T31">
        <f>SUM(Table1[Elderly_65Plus])</f>
        <v>49814000</v>
      </c>
      <c r="U31">
        <f>AVERAGE(Table1[Demand_Index])</f>
        <v>74.703333333333347</v>
      </c>
      <c r="V31">
        <f>MAX(Table1[Medical_Costs])</f>
        <v>1267800</v>
      </c>
      <c r="W31">
        <f>COUNTA(Table1[Prefecture])</f>
        <v>30</v>
      </c>
    </row>
  </sheetData>
  <conditionalFormatting sqref="K2:K31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3F6A-DAEC-4301-A376-C1244EAA115D}">
  <dimension ref="A1:C12"/>
  <sheetViews>
    <sheetView workbookViewId="0">
      <selection activeCell="S8" sqref="S8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24.85546875" bestFit="1" customWidth="1"/>
  </cols>
  <sheetData>
    <row r="1" spans="1:3" x14ac:dyDescent="0.25">
      <c r="A1" s="1" t="s">
        <v>33</v>
      </c>
      <c r="B1" t="s">
        <v>35</v>
      </c>
      <c r="C1" t="s">
        <v>36</v>
      </c>
    </row>
    <row r="2" spans="1:3" x14ac:dyDescent="0.25">
      <c r="A2" s="2" t="s">
        <v>22</v>
      </c>
      <c r="B2">
        <v>4704600</v>
      </c>
      <c r="C2">
        <v>71.13333333333334</v>
      </c>
    </row>
    <row r="3" spans="1:3" x14ac:dyDescent="0.25">
      <c r="A3" s="2" t="s">
        <v>24</v>
      </c>
      <c r="B3">
        <v>4037700</v>
      </c>
      <c r="C3">
        <v>70.433333333333337</v>
      </c>
    </row>
    <row r="4" spans="1:3" x14ac:dyDescent="0.25">
      <c r="A4" s="2" t="s">
        <v>27</v>
      </c>
      <c r="B4">
        <v>3371100</v>
      </c>
      <c r="C4">
        <v>69.7</v>
      </c>
    </row>
    <row r="5" spans="1:3" x14ac:dyDescent="0.25">
      <c r="A5" s="2" t="s">
        <v>26</v>
      </c>
      <c r="B5">
        <v>5963700</v>
      </c>
      <c r="C5">
        <v>84.933333333333337</v>
      </c>
    </row>
    <row r="6" spans="1:3" x14ac:dyDescent="0.25">
      <c r="A6" s="2" t="s">
        <v>25</v>
      </c>
      <c r="B6">
        <v>3704400</v>
      </c>
      <c r="C6">
        <v>73.533333333333346</v>
      </c>
    </row>
    <row r="7" spans="1:3" x14ac:dyDescent="0.25">
      <c r="A7" s="2" t="s">
        <v>21</v>
      </c>
      <c r="B7">
        <v>5630700</v>
      </c>
      <c r="C7">
        <v>75.666666666666671</v>
      </c>
    </row>
    <row r="8" spans="1:3" x14ac:dyDescent="0.25">
      <c r="A8" s="2" t="s">
        <v>20</v>
      </c>
      <c r="B8">
        <v>5691700</v>
      </c>
      <c r="C8">
        <v>82.36666666666666</v>
      </c>
    </row>
    <row r="9" spans="1:3" x14ac:dyDescent="0.25">
      <c r="A9" s="2" t="s">
        <v>23</v>
      </c>
      <c r="B9">
        <v>4371300</v>
      </c>
      <c r="C9">
        <v>68.733333333333334</v>
      </c>
    </row>
    <row r="10" spans="1:3" x14ac:dyDescent="0.25">
      <c r="A10" s="2" t="s">
        <v>28</v>
      </c>
      <c r="B10">
        <v>2963400</v>
      </c>
      <c r="C10">
        <v>72.033333333333346</v>
      </c>
    </row>
    <row r="11" spans="1:3" x14ac:dyDescent="0.25">
      <c r="A11" s="2" t="s">
        <v>19</v>
      </c>
      <c r="B11">
        <v>9375400</v>
      </c>
      <c r="C11">
        <v>78.5</v>
      </c>
    </row>
    <row r="12" spans="1:3" x14ac:dyDescent="0.25">
      <c r="A12" s="2" t="s">
        <v>34</v>
      </c>
      <c r="B12">
        <v>49814000</v>
      </c>
      <c r="C12">
        <v>74.703333333333347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japan_ Elderly_Care_Japan_Proje</vt:lpstr>
      <vt:lpstr>healthcare_pivot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kumari</dc:creator>
  <cp:lastModifiedBy>Pooja Kumari</cp:lastModifiedBy>
  <dcterms:created xsi:type="dcterms:W3CDTF">2025-10-09T14:46:04Z</dcterms:created>
  <dcterms:modified xsi:type="dcterms:W3CDTF">2026-02-17T17:51:49Z</dcterms:modified>
</cp:coreProperties>
</file>